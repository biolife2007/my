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Валерій Коростіль\OneDrive\Документи\GitHub\my\"/>
    </mc:Choice>
  </mc:AlternateContent>
  <xr:revisionPtr revIDLastSave="0" documentId="13_ncr:1_{9E21F8C3-BE2B-448A-A4AB-ECC394EC6E58}" xr6:coauthVersionLast="45" xr6:coauthVersionMax="45" xr10:uidLastSave="{00000000-0000-0000-0000-000000000000}"/>
  <bookViews>
    <workbookView xWindow="-120" yWindow="-120" windowWidth="19440" windowHeight="15150" xr2:uid="{76CD63DD-B582-41E3-B010-ADEC8F91F686}"/>
  </bookViews>
  <sheets>
    <sheet name="Аркуш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2" i="1"/>
</calcChain>
</file>

<file path=xl/sharedStrings.xml><?xml version="1.0" encoding="utf-8"?>
<sst xmlns="http://schemas.openxmlformats.org/spreadsheetml/2006/main" count="221" uniqueCount="97">
  <si>
    <t>https://hmel-master.com/ua/p2335906163-33l2-peregonnyj-kub.html</t>
  </si>
  <si>
    <t>SKU</t>
  </si>
  <si>
    <t>ЦІНА1</t>
  </si>
  <si>
    <t>ЦІНА2</t>
  </si>
  <si>
    <t>SA1SU14</t>
  </si>
  <si>
    <t>https://hmel-master.com/ua/p2440125244-hmel-master-bez.html</t>
  </si>
  <si>
    <t>https://hmel-master.com/ua/p2335906162-14l2-peregonnyj-kub.html</t>
  </si>
  <si>
    <t>1 сухопарник</t>
  </si>
  <si>
    <t>SA1SU21</t>
  </si>
  <si>
    <t>https://hmel-master.com/ua/p2248396154-21l2-peregonnyj-kub.html</t>
  </si>
  <si>
    <t>2 сухопарники</t>
  </si>
  <si>
    <t>SA1SU33</t>
  </si>
  <si>
    <t>Бражна колона з дефлегматором ціла 32мм</t>
  </si>
  <si>
    <t>SA1SU40</t>
  </si>
  <si>
    <t>https://hmel-master.com/ua/p2930681896-40l-firmennyj-peregonnyj.html</t>
  </si>
  <si>
    <t>Бражна колона з дефлегматором ціла 40мм</t>
  </si>
  <si>
    <t>SA2SU14</t>
  </si>
  <si>
    <t>https://pershakaplya.com.ua/kolona-gospodar-2-suhoparnyka-klamp</t>
  </si>
  <si>
    <t>SA2SU21</t>
  </si>
  <si>
    <t>SA2SU33</t>
  </si>
  <si>
    <t>SA2SU40</t>
  </si>
  <si>
    <t>SA2SU50</t>
  </si>
  <si>
    <t>https://pershakaplya.com.ua/peregonnyj-kub-standart-50-litriv</t>
  </si>
  <si>
    <t>SABK3214</t>
  </si>
  <si>
    <t>https://pershakaplya.com.ua/kolona-promin-32</t>
  </si>
  <si>
    <t>SABK3221</t>
  </si>
  <si>
    <t>SABK4033</t>
  </si>
  <si>
    <t>https://pershakaplya.com.ua/kolona-promin-40</t>
  </si>
  <si>
    <t>SABK4040</t>
  </si>
  <si>
    <t>SABK4050</t>
  </si>
  <si>
    <t>SABKKL33</t>
  </si>
  <si>
    <t>https://pershakaplya.com.ua/kolona-kraplya-2-dyujmy-klamp</t>
  </si>
  <si>
    <t>Бражна колона з дефлегматором на клампах</t>
  </si>
  <si>
    <t>SABKKL40</t>
  </si>
  <si>
    <t>SABKKL50</t>
  </si>
  <si>
    <t>SABKKL60</t>
  </si>
  <si>
    <t>https://hmel-master.com/ua/p2932441010-60l-firmennyj-peregonnyj.html</t>
  </si>
  <si>
    <t>SARKPR40</t>
  </si>
  <si>
    <t>https://pershakaplya.com.ua/kolona-kraplya-optima-lajt</t>
  </si>
  <si>
    <t>Колона з димротом відбір по пару</t>
  </si>
  <si>
    <t>SARKPR50</t>
  </si>
  <si>
    <t>SARKPR60</t>
  </si>
  <si>
    <t>SARKRD40</t>
  </si>
  <si>
    <t>https://pershakaplya.com.ua/kolona-kraplya-rektyfikaciya-klamp</t>
  </si>
  <si>
    <t>Колона з димротом відбір по рідині</t>
  </si>
  <si>
    <t>SARKRD50</t>
  </si>
  <si>
    <t>SARKRD60</t>
  </si>
  <si>
    <t>SAKK3R40</t>
  </si>
  <si>
    <t>https://hmel-master.com/ua/p960969006-vavilon-kristal-bez.html</t>
  </si>
  <si>
    <t>Ковпачкова колона 3 рівні</t>
  </si>
  <si>
    <t>SAKK3R50</t>
  </si>
  <si>
    <t>SAKK3R60</t>
  </si>
  <si>
    <t>SAPP40</t>
  </si>
  <si>
    <t>https://pershakaplya.com.ua/polskyj-bufer</t>
  </si>
  <si>
    <t>Подвійної перегонки</t>
  </si>
  <si>
    <t>SAPP50</t>
  </si>
  <si>
    <t>SAPP60</t>
  </si>
  <si>
    <t>Наявність1</t>
  </si>
  <si>
    <t>Наявність2</t>
  </si>
  <si>
    <t>Готово до відправки</t>
  </si>
  <si>
    <t>В наявності</t>
  </si>
  <si>
    <t>Куб, л</t>
  </si>
  <si>
    <t>Назва насадки/колони</t>
  </si>
  <si>
    <t>ЦІНА = (ЦІНА1+ЦІНА2)+10%</t>
  </si>
  <si>
    <t>Самогонний апарат з сухопарником, 14л</t>
  </si>
  <si>
    <t>Самогонний апарат з сухопарником, 21л</t>
  </si>
  <si>
    <t>Самогонний апарат з сухопарником, 33л</t>
  </si>
  <si>
    <t>Самогонний апарат з сухопарником, 40л</t>
  </si>
  <si>
    <t>Самогонний апарат з 2 сухопарниками, 14л</t>
  </si>
  <si>
    <t>Самогонний апарат з 2 сухопарниками, 21л</t>
  </si>
  <si>
    <t>Самогонний апарат з 2 сухопарниками, 33л</t>
  </si>
  <si>
    <t>Самогонний апарат з 2 сухопарниками, 40л</t>
  </si>
  <si>
    <t>Самогонний апарат з 2 сухопарниками, 50л</t>
  </si>
  <si>
    <t>URL1 насадки/колони</t>
  </si>
  <si>
    <t>URL2 Куб</t>
  </si>
  <si>
    <t>Назва товару</t>
  </si>
  <si>
    <t>Самогонний апарат подвійної перегонки , 40л</t>
  </si>
  <si>
    <t>Самогонний апарат подвійної перегонки , 50л</t>
  </si>
  <si>
    <t>Самогонний апарат подвійної перегонки , 60л</t>
  </si>
  <si>
    <t>Самогонний апарат з тарілчастою ковпачковою колоною 2″ 3 рівні , куб 40 л</t>
  </si>
  <si>
    <t>Самогонний апарат з тарілчастою ковпачковою колоною 2″ 3 рівні , куб 50 л</t>
  </si>
  <si>
    <t>Самогонний апарат з дефлегматором ,  монолітною бражною колоною 2"- 32мм, куб 14л</t>
  </si>
  <si>
    <t>Самогонний апарат з дефлегматором ,  монолітною бражною колоною 2" - 32мм, куб 21л</t>
  </si>
  <si>
    <t>Самогонний апарат з дефлегматором ,  монолітною бражною колоною 2" - 40мм, куб 33л</t>
  </si>
  <si>
    <t>Самогонний апарат з дефлегматором ,  монолітною бражною колоною 2"- 40мм, куб 40л</t>
  </si>
  <si>
    <t>Самогонний апарат з дефлегматором ,  монолітною бражною колоною 2"- 40мм, куб 50л</t>
  </si>
  <si>
    <t>Самогонний апарат з дефлегматором , бражною колоною 2", куб 33л</t>
  </si>
  <si>
    <t>Самогонний апарат з дефлегматором , бражною колоною 2", куб 40л</t>
  </si>
  <si>
    <t>Самогонний апарат з дефлегматором , бражною колоною 2", куб 50л</t>
  </si>
  <si>
    <t>Самогонний апарат з дефлегматором 2", з вузлом відбору по пару,  куб 40л</t>
  </si>
  <si>
    <t>Самогонний апарат з дефлегматором 2", з вузлом відбору по пару,  куб 50л</t>
  </si>
  <si>
    <t>Самогонний апарат з ректифікаційною колоною 2", відбір по рідині,  куб 40л</t>
  </si>
  <si>
    <t>Самогонний апарат з ректифікаційною колоною 2", відбір по рідині,  куб 50л</t>
  </si>
  <si>
    <t>Самогонний апарат з тарілчастою ковпачковою колоною 2″ 3 рівні , куб під тен 60 л</t>
  </si>
  <si>
    <t>Самогонний апарат з ректифікаційною колоною 2", відбір по рідині,  куб під тен 60л</t>
  </si>
  <si>
    <t>Самогонний апарат з дефлегматором 2", з вузлом відбору по пару, куб під тен 60л</t>
  </si>
  <si>
    <t>Самогонний апарат з дефлегматором , бражною колоною 2", куб під тен 60л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</si>
</sst>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</cellXfs>
  <cellStyles count="2">
    <cellStyle name="Гіперпосилання" xfId="1" builtinId="8"/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ershakaplya.com.ua/kolona-gospodar-2-suhoparnyka-klamp" TargetMode="External"/><Relationship Id="rId18" Type="http://schemas.openxmlformats.org/officeDocument/2006/relationships/hyperlink" Target="https://pershakaplya.com.ua/peregonnyj-kub-standart-50-litriv" TargetMode="External"/><Relationship Id="rId26" Type="http://schemas.openxmlformats.org/officeDocument/2006/relationships/hyperlink" Target="https://pershakaplya.com.ua/peregonnyj-kub-standart-50-litriv" TargetMode="External"/><Relationship Id="rId39" Type="http://schemas.openxmlformats.org/officeDocument/2006/relationships/hyperlink" Target="https://pershakaplya.com.ua/kolona-kraplya-optima-lajt" TargetMode="External"/><Relationship Id="rId21" Type="http://schemas.openxmlformats.org/officeDocument/2006/relationships/hyperlink" Target="https://pershakaplya.com.ua/kolona-promin-40" TargetMode="External"/><Relationship Id="rId34" Type="http://schemas.openxmlformats.org/officeDocument/2006/relationships/hyperlink" Target="https://hmel-master.com/ua/p2932441010-60l-firmennyj-peregonnyj.html" TargetMode="External"/><Relationship Id="rId42" Type="http://schemas.openxmlformats.org/officeDocument/2006/relationships/hyperlink" Target="https://hmel-master.com/ua/p2930681896-40l-firmennyj-peregonnyj.html" TargetMode="External"/><Relationship Id="rId47" Type="http://schemas.openxmlformats.org/officeDocument/2006/relationships/hyperlink" Target="https://hmel-master.com/ua/p960969006-vavilon-kristal-bez.html" TargetMode="External"/><Relationship Id="rId50" Type="http://schemas.openxmlformats.org/officeDocument/2006/relationships/hyperlink" Target="https://pershakaplya.com.ua/peregonnyj-kub-standart-50-litriv" TargetMode="External"/><Relationship Id="rId55" Type="http://schemas.openxmlformats.org/officeDocument/2006/relationships/hyperlink" Target="https://pershakaplya.com.ua/polskyj-bufer" TargetMode="External"/><Relationship Id="rId7" Type="http://schemas.openxmlformats.org/officeDocument/2006/relationships/hyperlink" Target="https://hmel-master.com/ua/p2440125244-hmel-master-bez.html" TargetMode="External"/><Relationship Id="rId2" Type="http://schemas.openxmlformats.org/officeDocument/2006/relationships/hyperlink" Target="https://hmel-master.com/ua/p2335906162-14l2-peregonnyj-kub.html" TargetMode="External"/><Relationship Id="rId16" Type="http://schemas.openxmlformats.org/officeDocument/2006/relationships/hyperlink" Target="https://hmel-master.com/ua/p2930681896-40l-firmennyj-peregonnyj.html" TargetMode="External"/><Relationship Id="rId29" Type="http://schemas.openxmlformats.org/officeDocument/2006/relationships/hyperlink" Target="https://pershakaplya.com.ua/kolona-kraplya-2-dyujmy-klamp" TargetMode="External"/><Relationship Id="rId11" Type="http://schemas.openxmlformats.org/officeDocument/2006/relationships/hyperlink" Target="https://pershakaplya.com.ua/kolona-gospodar-2-suhoparnyka-klamp" TargetMode="External"/><Relationship Id="rId24" Type="http://schemas.openxmlformats.org/officeDocument/2006/relationships/hyperlink" Target="https://hmel-master.com/ua/p2930681896-40l-firmennyj-peregonnyj.html" TargetMode="External"/><Relationship Id="rId32" Type="http://schemas.openxmlformats.org/officeDocument/2006/relationships/hyperlink" Target="https://pershakaplya.com.ua/peregonnyj-kub-standart-50-litriv" TargetMode="External"/><Relationship Id="rId37" Type="http://schemas.openxmlformats.org/officeDocument/2006/relationships/hyperlink" Target="https://pershakaplya.com.ua/kolona-kraplya-optima-lajt" TargetMode="External"/><Relationship Id="rId40" Type="http://schemas.openxmlformats.org/officeDocument/2006/relationships/hyperlink" Target="https://hmel-master.com/ua/p2932441010-60l-firmennyj-peregonnyj.html" TargetMode="External"/><Relationship Id="rId45" Type="http://schemas.openxmlformats.org/officeDocument/2006/relationships/hyperlink" Target="https://pershakaplya.com.ua/kolona-kraplya-rektyfikaciya-klamp" TargetMode="External"/><Relationship Id="rId53" Type="http://schemas.openxmlformats.org/officeDocument/2006/relationships/hyperlink" Target="https://pershakaplya.com.ua/polskyj-bufer" TargetMode="External"/><Relationship Id="rId58" Type="http://schemas.openxmlformats.org/officeDocument/2006/relationships/hyperlink" Target="https://hmel-master.com/ua/p2932441010-60l-firmennyj-peregonnyj.html" TargetMode="External"/><Relationship Id="rId5" Type="http://schemas.openxmlformats.org/officeDocument/2006/relationships/hyperlink" Target="https://hmel-master.com/ua/p2440125244-hmel-master-bez.html" TargetMode="External"/><Relationship Id="rId61" Type="http://schemas.openxmlformats.org/officeDocument/2006/relationships/printerSettings" Target="../printerSettings/printerSettings1.bin"/><Relationship Id="rId19" Type="http://schemas.openxmlformats.org/officeDocument/2006/relationships/hyperlink" Target="https://hmel-master.com/ua/p2335906162-14l2-peregonnyj-kub.html" TargetMode="External"/><Relationship Id="rId14" Type="http://schemas.openxmlformats.org/officeDocument/2006/relationships/hyperlink" Target="https://hmel-master.com/ua/p2335906163-33l2-peregonnyj-kub.html" TargetMode="External"/><Relationship Id="rId22" Type="http://schemas.openxmlformats.org/officeDocument/2006/relationships/hyperlink" Target="https://hmel-master.com/ua/p2335906163-33l2-peregonnyj-kub.html" TargetMode="External"/><Relationship Id="rId27" Type="http://schemas.openxmlformats.org/officeDocument/2006/relationships/hyperlink" Target="https://pershakaplya.com.ua/kolona-kraplya-2-dyujmy-klamp" TargetMode="External"/><Relationship Id="rId30" Type="http://schemas.openxmlformats.org/officeDocument/2006/relationships/hyperlink" Target="https://hmel-master.com/ua/p2930681896-40l-firmennyj-peregonnyj.html" TargetMode="External"/><Relationship Id="rId35" Type="http://schemas.openxmlformats.org/officeDocument/2006/relationships/hyperlink" Target="https://pershakaplya.com.ua/kolona-kraplya-optima-lajt" TargetMode="External"/><Relationship Id="rId43" Type="http://schemas.openxmlformats.org/officeDocument/2006/relationships/hyperlink" Target="https://pershakaplya.com.ua/kolona-kraplya-rektyfikaciya-klamp" TargetMode="External"/><Relationship Id="rId48" Type="http://schemas.openxmlformats.org/officeDocument/2006/relationships/hyperlink" Target="https://hmel-master.com/ua/p2930681896-40l-firmennyj-peregonnyj.html" TargetMode="External"/><Relationship Id="rId56" Type="http://schemas.openxmlformats.org/officeDocument/2006/relationships/hyperlink" Target="https://pershakaplya.com.ua/peregonnyj-kub-standart-50-litriv" TargetMode="External"/><Relationship Id="rId8" Type="http://schemas.openxmlformats.org/officeDocument/2006/relationships/hyperlink" Target="https://hmel-master.com/ua/p2930681896-40l-firmennyj-peregonnyj.html" TargetMode="External"/><Relationship Id="rId51" Type="http://schemas.openxmlformats.org/officeDocument/2006/relationships/hyperlink" Target="https://hmel-master.com/ua/p960969006-vavilon-kristal-bez.html" TargetMode="External"/><Relationship Id="rId3" Type="http://schemas.openxmlformats.org/officeDocument/2006/relationships/hyperlink" Target="https://hmel-master.com/ua/p2440125244-hmel-master-bez.html" TargetMode="External"/><Relationship Id="rId12" Type="http://schemas.openxmlformats.org/officeDocument/2006/relationships/hyperlink" Target="https://hmel-master.com/ua/p2248396154-21l2-peregonnyj-kub.html" TargetMode="External"/><Relationship Id="rId17" Type="http://schemas.openxmlformats.org/officeDocument/2006/relationships/hyperlink" Target="https://pershakaplya.com.ua/kolona-gospodar-2-suhoparnyka-klamp" TargetMode="External"/><Relationship Id="rId25" Type="http://schemas.openxmlformats.org/officeDocument/2006/relationships/hyperlink" Target="https://pershakaplya.com.ua/kolona-promin-40" TargetMode="External"/><Relationship Id="rId33" Type="http://schemas.openxmlformats.org/officeDocument/2006/relationships/hyperlink" Target="https://pershakaplya.com.ua/kolona-kraplya-2-dyujmy-klamp" TargetMode="External"/><Relationship Id="rId38" Type="http://schemas.openxmlformats.org/officeDocument/2006/relationships/hyperlink" Target="https://pershakaplya.com.ua/peregonnyj-kub-standart-50-litriv" TargetMode="External"/><Relationship Id="rId46" Type="http://schemas.openxmlformats.org/officeDocument/2006/relationships/hyperlink" Target="https://hmel-master.com/ua/p2932441010-60l-firmennyj-peregonnyj.html" TargetMode="External"/><Relationship Id="rId59" Type="http://schemas.openxmlformats.org/officeDocument/2006/relationships/hyperlink" Target="https://pershakaplya.com.ua/kolona-promin-32" TargetMode="External"/><Relationship Id="rId20" Type="http://schemas.openxmlformats.org/officeDocument/2006/relationships/hyperlink" Target="https://hmel-master.com/ua/p2248396154-21l2-peregonnyj-kub.html" TargetMode="External"/><Relationship Id="rId41" Type="http://schemas.openxmlformats.org/officeDocument/2006/relationships/hyperlink" Target="https://pershakaplya.com.ua/kolona-kraplya-rektyfikaciya-klamp" TargetMode="External"/><Relationship Id="rId54" Type="http://schemas.openxmlformats.org/officeDocument/2006/relationships/hyperlink" Target="https://hmel-master.com/ua/p2930681896-40l-firmennyj-peregonnyj.html" TargetMode="External"/><Relationship Id="rId1" Type="http://schemas.openxmlformats.org/officeDocument/2006/relationships/hyperlink" Target="https://hmel-master.com/ua/p2440125244-hmel-master-bez.html" TargetMode="External"/><Relationship Id="rId6" Type="http://schemas.openxmlformats.org/officeDocument/2006/relationships/hyperlink" Target="https://hmel-master.com/ua/p2335906163-33l2-peregonnyj-kub.html" TargetMode="External"/><Relationship Id="rId15" Type="http://schemas.openxmlformats.org/officeDocument/2006/relationships/hyperlink" Target="https://pershakaplya.com.ua/kolona-gospodar-2-suhoparnyka-klamp" TargetMode="External"/><Relationship Id="rId23" Type="http://schemas.openxmlformats.org/officeDocument/2006/relationships/hyperlink" Target="https://pershakaplya.com.ua/kolona-promin-40" TargetMode="External"/><Relationship Id="rId28" Type="http://schemas.openxmlformats.org/officeDocument/2006/relationships/hyperlink" Target="https://hmel-master.com/ua/p2335906163-33l2-peregonnyj-kub.html" TargetMode="External"/><Relationship Id="rId36" Type="http://schemas.openxmlformats.org/officeDocument/2006/relationships/hyperlink" Target="https://hmel-master.com/ua/p2930681896-40l-firmennyj-peregonnyj.html" TargetMode="External"/><Relationship Id="rId49" Type="http://schemas.openxmlformats.org/officeDocument/2006/relationships/hyperlink" Target="https://hmel-master.com/ua/p960969006-vavilon-kristal-bez.html" TargetMode="External"/><Relationship Id="rId57" Type="http://schemas.openxmlformats.org/officeDocument/2006/relationships/hyperlink" Target="https://pershakaplya.com.ua/polskyj-bufer" TargetMode="External"/><Relationship Id="rId10" Type="http://schemas.openxmlformats.org/officeDocument/2006/relationships/hyperlink" Target="https://hmel-master.com/ua/p2335906162-14l2-peregonnyj-kub.html" TargetMode="External"/><Relationship Id="rId31" Type="http://schemas.openxmlformats.org/officeDocument/2006/relationships/hyperlink" Target="https://pershakaplya.com.ua/kolona-kraplya-2-dyujmy-klamp" TargetMode="External"/><Relationship Id="rId44" Type="http://schemas.openxmlformats.org/officeDocument/2006/relationships/hyperlink" Target="https://pershakaplya.com.ua/peregonnyj-kub-standart-50-litriv" TargetMode="External"/><Relationship Id="rId52" Type="http://schemas.openxmlformats.org/officeDocument/2006/relationships/hyperlink" Target="https://hmel-master.com/ua/p2932441010-60l-firmennyj-peregonnyj.html" TargetMode="External"/><Relationship Id="rId60" Type="http://schemas.openxmlformats.org/officeDocument/2006/relationships/hyperlink" Target="https://pershakaplya.com.ua/kolona-promin-32" TargetMode="External"/><Relationship Id="rId4" Type="http://schemas.openxmlformats.org/officeDocument/2006/relationships/hyperlink" Target="https://hmel-master.com/ua/p2248396154-21l2-peregonnyj-kub.html" TargetMode="External"/><Relationship Id="rId9" Type="http://schemas.openxmlformats.org/officeDocument/2006/relationships/hyperlink" Target="https://pershakaplya.com.ua/kolona-gospodar-2-suhoparnyka-klam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35B67-050E-470B-9187-43CCD06DDA32}">
  <dimension ref="A1:AA999"/>
  <sheetViews>
    <sheetView tabSelected="1" workbookViewId="0">
      <selection activeCell="B22" sqref="B22"/>
    </sheetView>
  </sheetViews>
  <sheetFormatPr defaultColWidth="100.42578125" defaultRowHeight="15" x14ac:dyDescent="0.25"/>
  <cols>
    <col min="1" max="1" width="10.7109375" style="3" bestFit="1" customWidth="1"/>
    <col min="2" max="2" width="32" style="3" customWidth="1"/>
    <col min="3" max="3" width="26.140625" style="3" bestFit="1" customWidth="1"/>
    <col min="4" max="4" width="24" style="3" customWidth="1"/>
    <col min="5" max="5" width="30.5703125" style="3" customWidth="1"/>
    <col min="6" max="6" width="28" style="3" customWidth="1"/>
    <col min="7" max="7" width="7.5703125" style="3" bestFit="1" customWidth="1"/>
    <col min="8" max="9" width="6.5703125" style="3" bestFit="1" customWidth="1"/>
    <col min="10" max="11" width="19.7109375" style="3" bestFit="1" customWidth="1"/>
    <col min="12" max="49" width="16" style="3" customWidth="1"/>
    <col min="50" max="16384" width="100.42578125" style="3"/>
  </cols>
  <sheetData>
    <row r="1" spans="1:27" x14ac:dyDescent="0.25">
      <c r="A1" s="6" t="s">
        <v>1</v>
      </c>
      <c r="B1" s="6" t="s">
        <v>75</v>
      </c>
      <c r="C1" s="6" t="s">
        <v>63</v>
      </c>
      <c r="D1" s="6" t="s">
        <v>73</v>
      </c>
      <c r="E1" s="6" t="s">
        <v>74</v>
      </c>
      <c r="F1" s="6" t="s">
        <v>62</v>
      </c>
      <c r="G1" s="6" t="s">
        <v>61</v>
      </c>
      <c r="H1" s="6" t="s">
        <v>2</v>
      </c>
      <c r="I1" s="6" t="s">
        <v>3</v>
      </c>
      <c r="J1" s="6" t="s">
        <v>57</v>
      </c>
      <c r="K1" s="6" t="s">
        <v>58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60" x14ac:dyDescent="0.25">
      <c r="A2" s="1" t="s">
        <v>4</v>
      </c>
      <c r="B2" s="1" t="s">
        <v>64</v>
      </c>
      <c r="C2" s="8">
        <v>6534</v>
      </c>
      <c r="D2" s="4" t="s">
        <v>5</v>
      </c>
      <c r="E2" s="4" t="s">
        <v>6</v>
      </c>
      <c r="F2" s="1" t="s">
        <v>7</v>
      </c>
      <c r="G2" s="1">
        <v>14</v>
      </c>
      <c r="H2" s="8">
        <v>2950</v>
      </c>
      <c r="I2" s="5">
        <v>2990</v>
      </c>
      <c r="J2" s="5" t="s">
        <v>59</v>
      </c>
      <c r="K2" s="5" t="s">
        <v>59</v>
      </c>
      <c r="L2" s="7">
        <v>2950</v>
      </c>
      <c r="M2" s="7">
        <v>2990</v>
      </c>
      <c r="N2" s="7">
        <v>6534</v>
      </c>
      <c r="O2" s="5">
        <v>6534</v>
      </c>
      <c r="P2" s="2">
        <f>N2-O2</f>
        <v>0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60" x14ac:dyDescent="0.25">
      <c r="A3" s="1" t="s">
        <v>8</v>
      </c>
      <c r="B3" s="1" t="s">
        <v>65</v>
      </c>
      <c r="C3" s="8">
        <v>7205</v>
      </c>
      <c r="D3" s="4" t="s">
        <v>5</v>
      </c>
      <c r="E3" s="4" t="s">
        <v>9</v>
      </c>
      <c r="F3" s="1" t="s">
        <v>7</v>
      </c>
      <c r="G3" s="1">
        <v>21</v>
      </c>
      <c r="H3" s="8">
        <v>2950</v>
      </c>
      <c r="I3" s="5">
        <v>3600</v>
      </c>
      <c r="J3" s="5" t="s">
        <v>59</v>
      </c>
      <c r="K3" s="5" t="s">
        <v>59</v>
      </c>
      <c r="L3" s="7">
        <v>2950</v>
      </c>
      <c r="M3" s="7">
        <v>3600</v>
      </c>
      <c r="N3" s="7">
        <v>7205</v>
      </c>
      <c r="O3" s="5">
        <v>7205</v>
      </c>
      <c r="P3" s="2">
        <f t="shared" ref="P3:P31" si="0">N3-O3</f>
        <v>0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60" x14ac:dyDescent="0.25">
      <c r="A4" s="1" t="s">
        <v>11</v>
      </c>
      <c r="B4" s="1" t="s">
        <v>66</v>
      </c>
      <c r="C4" s="8">
        <v>8745</v>
      </c>
      <c r="D4" s="4" t="s">
        <v>5</v>
      </c>
      <c r="E4" s="4" t="s">
        <v>0</v>
      </c>
      <c r="F4" s="1" t="s">
        <v>7</v>
      </c>
      <c r="G4" s="1">
        <v>33</v>
      </c>
      <c r="H4" s="8">
        <v>2950</v>
      </c>
      <c r="I4" s="5">
        <v>5000</v>
      </c>
      <c r="J4" s="5" t="s">
        <v>59</v>
      </c>
      <c r="K4" s="5" t="s">
        <v>59</v>
      </c>
      <c r="L4" s="7">
        <v>2950</v>
      </c>
      <c r="M4" s="7">
        <v>5000</v>
      </c>
      <c r="N4" s="7">
        <v>8745</v>
      </c>
      <c r="O4" s="5">
        <v>8745</v>
      </c>
      <c r="P4" s="2">
        <f t="shared" si="0"/>
        <v>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60" x14ac:dyDescent="0.25">
      <c r="A5" s="1" t="s">
        <v>13</v>
      </c>
      <c r="B5" s="1" t="s">
        <v>67</v>
      </c>
      <c r="C5" s="8">
        <v>10340</v>
      </c>
      <c r="D5" s="4" t="s">
        <v>5</v>
      </c>
      <c r="E5" s="4" t="s">
        <v>14</v>
      </c>
      <c r="F5" s="1" t="s">
        <v>7</v>
      </c>
      <c r="G5" s="1">
        <v>40</v>
      </c>
      <c r="H5" s="8">
        <v>2950</v>
      </c>
      <c r="I5" s="5">
        <v>6450</v>
      </c>
      <c r="J5" s="5" t="s">
        <v>59</v>
      </c>
      <c r="K5" s="5" t="s">
        <v>59</v>
      </c>
      <c r="L5" s="7">
        <v>2950</v>
      </c>
      <c r="M5" s="7">
        <v>6450</v>
      </c>
      <c r="N5" s="7">
        <v>10340</v>
      </c>
      <c r="O5" s="5">
        <v>10340</v>
      </c>
      <c r="P5" s="2">
        <f t="shared" si="0"/>
        <v>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45" x14ac:dyDescent="0.25">
      <c r="A6" s="1" t="s">
        <v>16</v>
      </c>
      <c r="B6" s="1" t="s">
        <v>68</v>
      </c>
      <c r="C6" s="8">
        <v>6809</v>
      </c>
      <c r="D6" s="4" t="s">
        <v>17</v>
      </c>
      <c r="E6" s="4" t="s">
        <v>6</v>
      </c>
      <c r="F6" s="1" t="s">
        <v>10</v>
      </c>
      <c r="G6" s="1">
        <v>14</v>
      </c>
      <c r="H6" s="8">
        <v>3200</v>
      </c>
      <c r="I6" s="5">
        <v>2990</v>
      </c>
      <c r="J6" s="5" t="s">
        <v>60</v>
      </c>
      <c r="K6" s="5" t="s">
        <v>59</v>
      </c>
      <c r="L6" s="7">
        <v>3200</v>
      </c>
      <c r="M6" s="7">
        <v>2990</v>
      </c>
      <c r="N6" s="7">
        <v>6809</v>
      </c>
      <c r="O6" s="5">
        <v>6534</v>
      </c>
      <c r="P6" s="2">
        <f t="shared" si="0"/>
        <v>275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45" x14ac:dyDescent="0.25">
      <c r="A7" s="1" t="s">
        <v>18</v>
      </c>
      <c r="B7" s="1" t="s">
        <v>69</v>
      </c>
      <c r="C7" s="8">
        <v>7480</v>
      </c>
      <c r="D7" s="4" t="s">
        <v>17</v>
      </c>
      <c r="E7" s="4" t="s">
        <v>9</v>
      </c>
      <c r="F7" s="1" t="s">
        <v>10</v>
      </c>
      <c r="G7" s="1">
        <v>21</v>
      </c>
      <c r="H7" s="8">
        <v>3200</v>
      </c>
      <c r="I7" s="5">
        <v>3600</v>
      </c>
      <c r="J7" s="5" t="s">
        <v>60</v>
      </c>
      <c r="K7" s="5" t="s">
        <v>59</v>
      </c>
      <c r="L7" s="7">
        <v>3200</v>
      </c>
      <c r="M7" s="7">
        <v>3600</v>
      </c>
      <c r="N7" s="7">
        <v>7480</v>
      </c>
      <c r="O7" s="5">
        <v>7205</v>
      </c>
      <c r="P7" s="2">
        <f t="shared" si="0"/>
        <v>275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45" x14ac:dyDescent="0.25">
      <c r="A8" s="1" t="s">
        <v>19</v>
      </c>
      <c r="B8" s="1" t="s">
        <v>70</v>
      </c>
      <c r="C8" s="8">
        <v>9020</v>
      </c>
      <c r="D8" s="4" t="s">
        <v>17</v>
      </c>
      <c r="E8" s="4" t="s">
        <v>0</v>
      </c>
      <c r="F8" s="1" t="s">
        <v>10</v>
      </c>
      <c r="G8" s="1">
        <v>33</v>
      </c>
      <c r="H8" s="8">
        <v>3200</v>
      </c>
      <c r="I8" s="5">
        <v>5000</v>
      </c>
      <c r="J8" s="5" t="s">
        <v>60</v>
      </c>
      <c r="K8" s="5" t="s">
        <v>59</v>
      </c>
      <c r="L8" s="7">
        <v>3200</v>
      </c>
      <c r="M8" s="7">
        <v>5000</v>
      </c>
      <c r="N8" s="7">
        <v>9020</v>
      </c>
      <c r="O8" s="5">
        <v>8745</v>
      </c>
      <c r="P8" s="2">
        <f t="shared" si="0"/>
        <v>275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45" x14ac:dyDescent="0.25">
      <c r="A9" s="1" t="s">
        <v>20</v>
      </c>
      <c r="B9" s="1" t="s">
        <v>71</v>
      </c>
      <c r="C9" s="8">
        <v>10615</v>
      </c>
      <c r="D9" s="4" t="s">
        <v>17</v>
      </c>
      <c r="E9" s="4" t="s">
        <v>14</v>
      </c>
      <c r="F9" s="1" t="s">
        <v>10</v>
      </c>
      <c r="G9" s="1">
        <v>40</v>
      </c>
      <c r="H9" s="8">
        <v>3200</v>
      </c>
      <c r="I9" s="5">
        <v>6450</v>
      </c>
      <c r="J9" s="5" t="s">
        <v>60</v>
      </c>
      <c r="K9" s="5" t="s">
        <v>59</v>
      </c>
      <c r="L9" s="7">
        <v>3200</v>
      </c>
      <c r="M9" s="7">
        <v>6450</v>
      </c>
      <c r="N9" s="7">
        <v>10615</v>
      </c>
      <c r="O9" s="5">
        <v>10340</v>
      </c>
      <c r="P9" s="2">
        <f t="shared" si="0"/>
        <v>275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45" x14ac:dyDescent="0.25">
      <c r="A10" s="1" t="s">
        <v>21</v>
      </c>
      <c r="B10" s="1" t="s">
        <v>72</v>
      </c>
      <c r="C10" s="8">
        <v>9845</v>
      </c>
      <c r="D10" s="4" t="s">
        <v>17</v>
      </c>
      <c r="E10" s="4" t="s">
        <v>22</v>
      </c>
      <c r="F10" s="1" t="s">
        <v>10</v>
      </c>
      <c r="G10" s="1">
        <v>50</v>
      </c>
      <c r="H10" s="8">
        <v>3200</v>
      </c>
      <c r="I10" s="5">
        <v>5750</v>
      </c>
      <c r="J10" s="5" t="s">
        <v>60</v>
      </c>
      <c r="K10" s="5" t="s">
        <v>60</v>
      </c>
      <c r="L10" s="7">
        <v>3200</v>
      </c>
      <c r="M10" s="7">
        <v>5750</v>
      </c>
      <c r="N10" s="7">
        <v>9845</v>
      </c>
      <c r="O10" s="5">
        <v>9570</v>
      </c>
      <c r="P10" s="2">
        <f t="shared" si="0"/>
        <v>275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63" x14ac:dyDescent="0.25">
      <c r="A11" s="1" t="s">
        <v>23</v>
      </c>
      <c r="B11" s="1" t="s">
        <v>81</v>
      </c>
      <c r="C11" s="8">
        <v>6754</v>
      </c>
      <c r="D11" s="4" t="s">
        <v>24</v>
      </c>
      <c r="E11" s="4" t="s">
        <v>6</v>
      </c>
      <c r="F11" s="1" t="s">
        <v>12</v>
      </c>
      <c r="G11" s="1">
        <v>14</v>
      </c>
      <c r="H11" s="8">
        <v>3150</v>
      </c>
      <c r="I11" s="5">
        <v>2990</v>
      </c>
      <c r="J11" s="5" t="s">
        <v>60</v>
      </c>
      <c r="K11" s="5" t="s">
        <v>59</v>
      </c>
      <c r="L11" s="7">
        <v>3150</v>
      </c>
      <c r="M11" s="7">
        <v>2990</v>
      </c>
      <c r="N11" s="7">
        <v>6754</v>
      </c>
      <c r="O11" s="5">
        <v>6754</v>
      </c>
      <c r="P11" s="2">
        <f t="shared" si="0"/>
        <v>0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63" x14ac:dyDescent="0.25">
      <c r="A12" s="1" t="s">
        <v>25</v>
      </c>
      <c r="B12" s="1" t="s">
        <v>82</v>
      </c>
      <c r="C12" s="8">
        <v>7425</v>
      </c>
      <c r="D12" s="4" t="s">
        <v>24</v>
      </c>
      <c r="E12" s="4" t="s">
        <v>9</v>
      </c>
      <c r="F12" s="1" t="s">
        <v>12</v>
      </c>
      <c r="G12" s="1">
        <v>21</v>
      </c>
      <c r="H12" s="8">
        <v>3150</v>
      </c>
      <c r="I12" s="5">
        <v>3600</v>
      </c>
      <c r="J12" s="5" t="s">
        <v>60</v>
      </c>
      <c r="K12" s="5" t="s">
        <v>59</v>
      </c>
      <c r="L12" s="7">
        <v>3150</v>
      </c>
      <c r="M12" s="7">
        <v>3600</v>
      </c>
      <c r="N12" s="7">
        <v>7425</v>
      </c>
      <c r="O12" s="5">
        <v>7425</v>
      </c>
      <c r="P12" s="2">
        <f t="shared" si="0"/>
        <v>0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63" x14ac:dyDescent="0.25">
      <c r="A13" s="1" t="s">
        <v>26</v>
      </c>
      <c r="B13" s="1" t="s">
        <v>83</v>
      </c>
      <c r="C13" s="8">
        <v>9845</v>
      </c>
      <c r="D13" s="4" t="s">
        <v>27</v>
      </c>
      <c r="E13" s="4" t="s">
        <v>0</v>
      </c>
      <c r="F13" s="1" t="s">
        <v>15</v>
      </c>
      <c r="G13" s="1">
        <v>33</v>
      </c>
      <c r="H13" s="8">
        <v>3950</v>
      </c>
      <c r="I13" s="5">
        <v>5000</v>
      </c>
      <c r="J13" s="5" t="s">
        <v>60</v>
      </c>
      <c r="K13" s="5" t="s">
        <v>59</v>
      </c>
      <c r="L13" s="7">
        <v>3950</v>
      </c>
      <c r="M13" s="7">
        <v>5000</v>
      </c>
      <c r="N13" s="7">
        <v>9845</v>
      </c>
      <c r="O13" s="5">
        <v>9845</v>
      </c>
      <c r="P13" s="2">
        <f t="shared" si="0"/>
        <v>0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63" x14ac:dyDescent="0.25">
      <c r="A14" s="1" t="s">
        <v>28</v>
      </c>
      <c r="B14" s="1" t="s">
        <v>84</v>
      </c>
      <c r="C14" s="8">
        <v>11440</v>
      </c>
      <c r="D14" s="4" t="s">
        <v>27</v>
      </c>
      <c r="E14" s="4" t="s">
        <v>14</v>
      </c>
      <c r="F14" s="1" t="s">
        <v>15</v>
      </c>
      <c r="G14" s="1">
        <v>40</v>
      </c>
      <c r="H14" s="8">
        <v>3950</v>
      </c>
      <c r="I14" s="5">
        <v>6450</v>
      </c>
      <c r="J14" s="5" t="s">
        <v>60</v>
      </c>
      <c r="K14" s="5" t="s">
        <v>59</v>
      </c>
      <c r="L14" s="7">
        <v>3950</v>
      </c>
      <c r="M14" s="7">
        <v>6450</v>
      </c>
      <c r="N14" s="7">
        <v>11440</v>
      </c>
      <c r="O14" s="5">
        <v>11440</v>
      </c>
      <c r="P14" s="2">
        <f t="shared" si="0"/>
        <v>0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63" x14ac:dyDescent="0.25">
      <c r="A15" s="1" t="s">
        <v>29</v>
      </c>
      <c r="B15" s="1" t="s">
        <v>85</v>
      </c>
      <c r="C15" s="8">
        <v>10670</v>
      </c>
      <c r="D15" s="4" t="s">
        <v>27</v>
      </c>
      <c r="E15" s="4" t="s">
        <v>22</v>
      </c>
      <c r="F15" s="1" t="s">
        <v>15</v>
      </c>
      <c r="G15" s="1">
        <v>50</v>
      </c>
      <c r="H15" s="8">
        <v>3950</v>
      </c>
      <c r="I15" s="5">
        <v>5750</v>
      </c>
      <c r="J15" s="5" t="s">
        <v>60</v>
      </c>
      <c r="K15" s="5" t="s">
        <v>60</v>
      </c>
      <c r="L15" s="7">
        <v>3950</v>
      </c>
      <c r="M15" s="7">
        <v>5750</v>
      </c>
      <c r="N15" s="7">
        <v>10670</v>
      </c>
      <c r="O15" s="5">
        <v>10670</v>
      </c>
      <c r="P15" s="2">
        <f t="shared" si="0"/>
        <v>0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47.25" x14ac:dyDescent="0.25">
      <c r="A16" s="1" t="s">
        <v>30</v>
      </c>
      <c r="B16" s="1" t="s">
        <v>86</v>
      </c>
      <c r="C16" s="8">
        <v>13970</v>
      </c>
      <c r="D16" s="4" t="s">
        <v>31</v>
      </c>
      <c r="E16" s="4" t="s">
        <v>0</v>
      </c>
      <c r="F16" s="1" t="s">
        <v>32</v>
      </c>
      <c r="G16" s="1">
        <v>33</v>
      </c>
      <c r="H16" s="8">
        <v>7700</v>
      </c>
      <c r="I16" s="5">
        <v>5000</v>
      </c>
      <c r="J16" s="5" t="s">
        <v>60</v>
      </c>
      <c r="K16" s="5" t="s">
        <v>59</v>
      </c>
      <c r="L16" s="7">
        <v>7700</v>
      </c>
      <c r="M16" s="7">
        <v>5000</v>
      </c>
      <c r="N16" s="7">
        <v>13970</v>
      </c>
      <c r="O16" s="5">
        <v>13970</v>
      </c>
      <c r="P16" s="2">
        <f t="shared" si="0"/>
        <v>0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47.25" x14ac:dyDescent="0.25">
      <c r="A17" s="1" t="s">
        <v>33</v>
      </c>
      <c r="B17" s="1" t="s">
        <v>87</v>
      </c>
      <c r="C17" s="8">
        <v>15565</v>
      </c>
      <c r="D17" s="4" t="s">
        <v>31</v>
      </c>
      <c r="E17" s="4" t="s">
        <v>14</v>
      </c>
      <c r="F17" s="1" t="s">
        <v>32</v>
      </c>
      <c r="G17" s="1">
        <v>40</v>
      </c>
      <c r="H17" s="8">
        <v>7700</v>
      </c>
      <c r="I17" s="5">
        <v>6450</v>
      </c>
      <c r="J17" s="5" t="s">
        <v>60</v>
      </c>
      <c r="K17" s="5" t="s">
        <v>59</v>
      </c>
      <c r="L17" s="7">
        <v>7700</v>
      </c>
      <c r="M17" s="7">
        <v>6450</v>
      </c>
      <c r="N17" s="7">
        <v>15565</v>
      </c>
      <c r="O17" s="5">
        <v>15565</v>
      </c>
      <c r="P17" s="2">
        <f t="shared" si="0"/>
        <v>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47.25" x14ac:dyDescent="0.25">
      <c r="A18" s="1" t="s">
        <v>34</v>
      </c>
      <c r="B18" s="1" t="s">
        <v>88</v>
      </c>
      <c r="C18" s="8">
        <v>14795</v>
      </c>
      <c r="D18" s="4" t="s">
        <v>31</v>
      </c>
      <c r="E18" s="4" t="s">
        <v>22</v>
      </c>
      <c r="F18" s="1" t="s">
        <v>32</v>
      </c>
      <c r="G18" s="1">
        <v>50</v>
      </c>
      <c r="H18" s="8">
        <v>7700</v>
      </c>
      <c r="I18" s="5">
        <v>5750</v>
      </c>
      <c r="J18" s="5" t="s">
        <v>60</v>
      </c>
      <c r="K18" s="5" t="s">
        <v>60</v>
      </c>
      <c r="L18" s="7">
        <v>7700</v>
      </c>
      <c r="M18" s="7">
        <v>5750</v>
      </c>
      <c r="N18" s="7">
        <v>14795</v>
      </c>
      <c r="O18" s="5">
        <v>14795</v>
      </c>
      <c r="P18" s="2">
        <f t="shared" si="0"/>
        <v>0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47.25" x14ac:dyDescent="0.25">
      <c r="A19" s="1" t="s">
        <v>35</v>
      </c>
      <c r="B19" s="1" t="s">
        <v>96</v>
      </c>
      <c r="C19" s="8">
        <v>18315</v>
      </c>
      <c r="D19" s="4" t="s">
        <v>31</v>
      </c>
      <c r="E19" s="4" t="s">
        <v>36</v>
      </c>
      <c r="F19" s="1" t="s">
        <v>32</v>
      </c>
      <c r="G19" s="1">
        <v>60</v>
      </c>
      <c r="H19" s="8">
        <v>7700</v>
      </c>
      <c r="I19" s="5">
        <v>8950</v>
      </c>
      <c r="J19" s="5" t="s">
        <v>60</v>
      </c>
      <c r="K19" s="5" t="s">
        <v>59</v>
      </c>
      <c r="L19" s="7">
        <v>7700</v>
      </c>
      <c r="M19" s="7">
        <v>8950</v>
      </c>
      <c r="N19" s="7">
        <v>18315</v>
      </c>
      <c r="O19" s="5">
        <v>18315</v>
      </c>
      <c r="P19" s="2">
        <f t="shared" si="0"/>
        <v>0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47.25" x14ac:dyDescent="0.25">
      <c r="A20" s="1" t="s">
        <v>37</v>
      </c>
      <c r="B20" s="1" t="s">
        <v>89</v>
      </c>
      <c r="C20" s="8">
        <v>20570</v>
      </c>
      <c r="D20" s="4" t="s">
        <v>38</v>
      </c>
      <c r="E20" s="4" t="s">
        <v>14</v>
      </c>
      <c r="F20" s="1" t="s">
        <v>39</v>
      </c>
      <c r="G20" s="1">
        <v>40</v>
      </c>
      <c r="H20" s="8">
        <v>12250</v>
      </c>
      <c r="I20" s="5">
        <v>6450</v>
      </c>
      <c r="J20" s="5" t="s">
        <v>60</v>
      </c>
      <c r="K20" s="5" t="s">
        <v>59</v>
      </c>
      <c r="L20" s="7">
        <v>12250</v>
      </c>
      <c r="M20" s="7">
        <v>6450</v>
      </c>
      <c r="N20" s="7">
        <v>20570</v>
      </c>
      <c r="O20" s="5">
        <v>20570</v>
      </c>
      <c r="P20" s="2">
        <f t="shared" si="0"/>
        <v>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47.25" x14ac:dyDescent="0.25">
      <c r="A21" s="1" t="s">
        <v>40</v>
      </c>
      <c r="B21" s="1" t="s">
        <v>90</v>
      </c>
      <c r="C21" s="8">
        <v>19800</v>
      </c>
      <c r="D21" s="4" t="s">
        <v>38</v>
      </c>
      <c r="E21" s="4" t="s">
        <v>22</v>
      </c>
      <c r="F21" s="1" t="s">
        <v>39</v>
      </c>
      <c r="G21" s="1">
        <v>50</v>
      </c>
      <c r="H21" s="8">
        <v>12250</v>
      </c>
      <c r="I21" s="5">
        <v>5750</v>
      </c>
      <c r="J21" s="5" t="s">
        <v>60</v>
      </c>
      <c r="K21" s="5" t="s">
        <v>60</v>
      </c>
      <c r="L21" s="7">
        <v>12250</v>
      </c>
      <c r="M21" s="7">
        <v>5750</v>
      </c>
      <c r="N21" s="7">
        <v>19800</v>
      </c>
      <c r="O21" s="5">
        <v>19800</v>
      </c>
      <c r="P21" s="2">
        <f t="shared" si="0"/>
        <v>0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63" x14ac:dyDescent="0.25">
      <c r="A22" s="1" t="s">
        <v>41</v>
      </c>
      <c r="B22" s="1" t="s">
        <v>95</v>
      </c>
      <c r="C22" s="8">
        <v>23320</v>
      </c>
      <c r="D22" s="4" t="s">
        <v>38</v>
      </c>
      <c r="E22" s="4" t="s">
        <v>36</v>
      </c>
      <c r="F22" s="1" t="s">
        <v>39</v>
      </c>
      <c r="G22" s="1">
        <v>60</v>
      </c>
      <c r="H22" s="8">
        <v>12250</v>
      </c>
      <c r="I22" s="5">
        <v>8950</v>
      </c>
      <c r="J22" s="5" t="s">
        <v>60</v>
      </c>
      <c r="K22" s="5" t="s">
        <v>59</v>
      </c>
      <c r="L22" s="7">
        <v>12250</v>
      </c>
      <c r="M22" s="7">
        <v>8950</v>
      </c>
      <c r="N22" s="7">
        <v>23320</v>
      </c>
      <c r="O22" s="5">
        <v>23320</v>
      </c>
      <c r="P22" s="2">
        <f t="shared" si="0"/>
        <v>0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47.25" x14ac:dyDescent="0.25">
      <c r="A23" s="1" t="s">
        <v>42</v>
      </c>
      <c r="B23" s="1" t="s">
        <v>91</v>
      </c>
      <c r="C23" s="8">
        <v>17105</v>
      </c>
      <c r="D23" s="4" t="s">
        <v>43</v>
      </c>
      <c r="E23" s="4" t="s">
        <v>14</v>
      </c>
      <c r="F23" s="1" t="s">
        <v>44</v>
      </c>
      <c r="G23" s="1">
        <v>40</v>
      </c>
      <c r="H23" s="8">
        <v>9100</v>
      </c>
      <c r="I23" s="5">
        <v>6450</v>
      </c>
      <c r="J23" s="5" t="s">
        <v>60</v>
      </c>
      <c r="K23" s="5" t="s">
        <v>59</v>
      </c>
      <c r="L23" s="7">
        <v>9100</v>
      </c>
      <c r="M23" s="7">
        <v>6450</v>
      </c>
      <c r="N23" s="7">
        <v>17105</v>
      </c>
      <c r="O23" s="5">
        <v>17105</v>
      </c>
      <c r="P23" s="2">
        <f t="shared" si="0"/>
        <v>0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47.25" x14ac:dyDescent="0.25">
      <c r="A24" s="1" t="s">
        <v>45</v>
      </c>
      <c r="B24" s="1" t="s">
        <v>92</v>
      </c>
      <c r="C24" s="8">
        <v>16335</v>
      </c>
      <c r="D24" s="4" t="s">
        <v>43</v>
      </c>
      <c r="E24" s="4" t="s">
        <v>22</v>
      </c>
      <c r="F24" s="1" t="s">
        <v>44</v>
      </c>
      <c r="G24" s="1">
        <v>50</v>
      </c>
      <c r="H24" s="8">
        <v>9100</v>
      </c>
      <c r="I24" s="5">
        <v>5750</v>
      </c>
      <c r="J24" s="5" t="s">
        <v>60</v>
      </c>
      <c r="K24" s="5" t="s">
        <v>60</v>
      </c>
      <c r="L24" s="7">
        <v>9100</v>
      </c>
      <c r="M24" s="7">
        <v>5750</v>
      </c>
      <c r="N24" s="7">
        <v>16335</v>
      </c>
      <c r="O24" s="5">
        <v>16335</v>
      </c>
      <c r="P24" s="2">
        <f t="shared" si="0"/>
        <v>0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63" x14ac:dyDescent="0.25">
      <c r="A25" s="1" t="s">
        <v>46</v>
      </c>
      <c r="B25" s="1" t="s">
        <v>94</v>
      </c>
      <c r="C25" s="8">
        <v>19855</v>
      </c>
      <c r="D25" s="4" t="s">
        <v>43</v>
      </c>
      <c r="E25" s="4" t="s">
        <v>36</v>
      </c>
      <c r="F25" s="1" t="s">
        <v>44</v>
      </c>
      <c r="G25" s="1">
        <v>60</v>
      </c>
      <c r="H25" s="8">
        <v>9100</v>
      </c>
      <c r="I25" s="5">
        <v>8950</v>
      </c>
      <c r="J25" s="5" t="s">
        <v>60</v>
      </c>
      <c r="K25" s="5" t="s">
        <v>59</v>
      </c>
      <c r="L25" s="7">
        <v>9100</v>
      </c>
      <c r="M25" s="7">
        <v>8950</v>
      </c>
      <c r="N25" s="7">
        <v>19855</v>
      </c>
      <c r="O25" s="5">
        <v>19855</v>
      </c>
      <c r="P25" s="2">
        <f t="shared" si="0"/>
        <v>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60" x14ac:dyDescent="0.25">
      <c r="A26" s="1" t="s">
        <v>47</v>
      </c>
      <c r="B26" s="1" t="s">
        <v>79</v>
      </c>
      <c r="C26" s="8">
        <v>17985</v>
      </c>
      <c r="D26" s="4" t="s">
        <v>48</v>
      </c>
      <c r="E26" s="4" t="s">
        <v>14</v>
      </c>
      <c r="F26" s="1" t="s">
        <v>49</v>
      </c>
      <c r="G26" s="1">
        <v>40</v>
      </c>
      <c r="H26" s="8">
        <v>9900</v>
      </c>
      <c r="I26" s="5">
        <v>6450</v>
      </c>
      <c r="J26" s="5" t="s">
        <v>59</v>
      </c>
      <c r="K26" s="5" t="s">
        <v>59</v>
      </c>
      <c r="L26" s="7">
        <v>9900</v>
      </c>
      <c r="M26" s="7">
        <v>6450</v>
      </c>
      <c r="N26" s="7">
        <v>17985</v>
      </c>
      <c r="O26" s="5">
        <v>17985</v>
      </c>
      <c r="P26" s="2">
        <f t="shared" si="0"/>
        <v>0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60" x14ac:dyDescent="0.25">
      <c r="A27" s="1" t="s">
        <v>50</v>
      </c>
      <c r="B27" s="1" t="s">
        <v>80</v>
      </c>
      <c r="C27" s="8">
        <v>17215</v>
      </c>
      <c r="D27" s="4" t="s">
        <v>48</v>
      </c>
      <c r="E27" s="4" t="s">
        <v>22</v>
      </c>
      <c r="F27" s="1" t="s">
        <v>49</v>
      </c>
      <c r="G27" s="1">
        <v>50</v>
      </c>
      <c r="H27" s="8">
        <v>9900</v>
      </c>
      <c r="I27" s="5">
        <v>5750</v>
      </c>
      <c r="J27" s="5" t="s">
        <v>59</v>
      </c>
      <c r="K27" s="5" t="s">
        <v>60</v>
      </c>
      <c r="L27" s="7">
        <v>9900</v>
      </c>
      <c r="M27" s="7">
        <v>5750</v>
      </c>
      <c r="N27" s="7">
        <v>17215</v>
      </c>
      <c r="O27" s="5">
        <v>17215</v>
      </c>
      <c r="P27" s="2">
        <f t="shared" si="0"/>
        <v>0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63" x14ac:dyDescent="0.25">
      <c r="A28" s="1" t="s">
        <v>51</v>
      </c>
      <c r="B28" s="1" t="s">
        <v>93</v>
      </c>
      <c r="C28" s="8">
        <v>20735</v>
      </c>
      <c r="D28" s="4" t="s">
        <v>48</v>
      </c>
      <c r="E28" s="4" t="s">
        <v>36</v>
      </c>
      <c r="F28" s="1" t="s">
        <v>49</v>
      </c>
      <c r="G28" s="1">
        <v>60</v>
      </c>
      <c r="H28" s="8">
        <v>9900</v>
      </c>
      <c r="I28" s="5">
        <v>8950</v>
      </c>
      <c r="J28" s="5" t="s">
        <v>59</v>
      </c>
      <c r="K28" s="5" t="s">
        <v>59</v>
      </c>
      <c r="L28" s="7">
        <v>9900</v>
      </c>
      <c r="M28" s="7">
        <v>8950</v>
      </c>
      <c r="N28" s="7">
        <v>20735</v>
      </c>
      <c r="O28" s="5">
        <v>20735</v>
      </c>
      <c r="P28" s="2">
        <f t="shared" si="0"/>
        <v>0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45" x14ac:dyDescent="0.25">
      <c r="A29" s="1" t="s">
        <v>52</v>
      </c>
      <c r="B29" s="1" t="s">
        <v>76</v>
      </c>
      <c r="C29" s="8">
        <v>10945</v>
      </c>
      <c r="D29" s="4" t="s">
        <v>53</v>
      </c>
      <c r="E29" s="4" t="s">
        <v>14</v>
      </c>
      <c r="F29" s="1" t="s">
        <v>54</v>
      </c>
      <c r="G29" s="1">
        <v>40</v>
      </c>
      <c r="H29" s="8">
        <v>3500</v>
      </c>
      <c r="I29" s="5">
        <v>6450</v>
      </c>
      <c r="J29" s="5" t="s">
        <v>60</v>
      </c>
      <c r="K29" s="5" t="s">
        <v>59</v>
      </c>
      <c r="L29" s="7">
        <v>3500</v>
      </c>
      <c r="M29" s="7">
        <v>6450</v>
      </c>
      <c r="N29" s="7">
        <v>10945</v>
      </c>
      <c r="O29" s="5">
        <v>10945</v>
      </c>
      <c r="P29" s="2">
        <f t="shared" si="0"/>
        <v>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31.5" x14ac:dyDescent="0.25">
      <c r="A30" s="1" t="s">
        <v>55</v>
      </c>
      <c r="B30" s="1" t="s">
        <v>77</v>
      </c>
      <c r="C30" s="8">
        <v>10175</v>
      </c>
      <c r="D30" s="4" t="s">
        <v>53</v>
      </c>
      <c r="E30" s="4" t="s">
        <v>22</v>
      </c>
      <c r="F30" s="1" t="s">
        <v>54</v>
      </c>
      <c r="G30" s="1">
        <v>50</v>
      </c>
      <c r="H30" s="8">
        <v>3500</v>
      </c>
      <c r="I30" s="5">
        <v>5750</v>
      </c>
      <c r="J30" s="5" t="s">
        <v>60</v>
      </c>
      <c r="K30" s="5" t="s">
        <v>60</v>
      </c>
      <c r="L30" s="7">
        <v>3500</v>
      </c>
      <c r="M30" s="7">
        <v>5750</v>
      </c>
      <c r="N30" s="7">
        <v>10175</v>
      </c>
      <c r="O30" s="5">
        <v>10175</v>
      </c>
      <c r="P30" s="2">
        <f t="shared" si="0"/>
        <v>0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45" x14ac:dyDescent="0.25">
      <c r="A31" s="1" t="s">
        <v>56</v>
      </c>
      <c r="B31" s="1" t="s">
        <v>78</v>
      </c>
      <c r="C31" s="8">
        <v>13695</v>
      </c>
      <c r="D31" s="4" t="s">
        <v>53</v>
      </c>
      <c r="E31" s="4" t="s">
        <v>36</v>
      </c>
      <c r="F31" s="1" t="s">
        <v>54</v>
      </c>
      <c r="G31" s="1">
        <v>60</v>
      </c>
      <c r="H31" s="8">
        <v>3500</v>
      </c>
      <c r="I31" s="5">
        <v>8950</v>
      </c>
      <c r="J31" s="5" t="s">
        <v>60</v>
      </c>
      <c r="K31" s="5" t="s">
        <v>59</v>
      </c>
      <c r="L31" s="7">
        <v>3500</v>
      </c>
      <c r="M31" s="7">
        <v>8950</v>
      </c>
      <c r="N31" s="7">
        <v>13695</v>
      </c>
      <c r="O31" s="5">
        <v>13695</v>
      </c>
      <c r="P31" s="2">
        <f t="shared" si="0"/>
        <v>0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</sheetData>
  <phoneticPr fontId="4" type="noConversion"/>
  <hyperlinks>
    <hyperlink ref="D2" r:id="rId1" xr:uid="{0BC211B0-B657-41D7-B3F5-1BB56055FD31}"/>
    <hyperlink ref="E2" r:id="rId2" xr:uid="{DBD6CF99-519B-4397-87BC-5A4F01CE1D73}"/>
    <hyperlink ref="D3" r:id="rId3" xr:uid="{EC24EBEF-1B2F-4B13-97E6-24A31BAD76D5}"/>
    <hyperlink ref="E3" r:id="rId4" xr:uid="{389BA2B5-B932-451F-BC8B-333762D64939}"/>
    <hyperlink ref="D4" r:id="rId5" xr:uid="{D476F244-A4EA-41E6-A431-3450CA7AFCAD}"/>
    <hyperlink ref="E4" r:id="rId6" xr:uid="{8D2A37D2-456B-4F3C-A141-4F754E37F70F}"/>
    <hyperlink ref="D5" r:id="rId7" xr:uid="{409ADCC3-FBF2-46F7-B19B-59F0894F295B}"/>
    <hyperlink ref="E5" r:id="rId8" xr:uid="{D3224BE2-6AE7-43AF-BB03-F3F1FC7741E8}"/>
    <hyperlink ref="D6" r:id="rId9" xr:uid="{17D7FB81-4772-4E1E-B9B4-B6C240611C03}"/>
    <hyperlink ref="E6" r:id="rId10" xr:uid="{9BF6FECD-C5FB-4B70-8172-908CF8FDAF19}"/>
    <hyperlink ref="D7" r:id="rId11" xr:uid="{676A67F4-A3FC-4B94-BA26-887FF36274D0}"/>
    <hyperlink ref="E7" r:id="rId12" xr:uid="{3B34FB1C-967B-4B43-B9D7-BEF6D1FCDE78}"/>
    <hyperlink ref="D8" r:id="rId13" xr:uid="{9FDA6D93-752A-437F-BF42-F61662A0B976}"/>
    <hyperlink ref="E8" r:id="rId14" xr:uid="{C8180C3F-9044-4F66-8FD5-B9F12F5D1C14}"/>
    <hyperlink ref="D9" r:id="rId15" xr:uid="{38D9E138-CC76-4583-8452-88F2BECEC7BB}"/>
    <hyperlink ref="E9" r:id="rId16" xr:uid="{A09E2CEF-C873-4ED1-A82A-71F2C788A0A9}"/>
    <hyperlink ref="D10" r:id="rId17" xr:uid="{A08A9588-9069-44F1-9C9E-EBF48E592985}"/>
    <hyperlink ref="E10" r:id="rId18" xr:uid="{5B11BAE5-A2AE-4165-938E-14D564157199}"/>
    <hyperlink ref="E11" r:id="rId19" xr:uid="{E8701246-EAFB-4B03-B523-1CCAA0C1FF75}"/>
    <hyperlink ref="E12" r:id="rId20" xr:uid="{A3559144-6387-4A84-B364-D8A023BAAE9C}"/>
    <hyperlink ref="D13" r:id="rId21" xr:uid="{3EF56CA8-6AC9-4175-AC89-999C05D8B399}"/>
    <hyperlink ref="E13" r:id="rId22" xr:uid="{A7A80215-6F4B-4122-B41C-761A8E44C220}"/>
    <hyperlink ref="D14" r:id="rId23" xr:uid="{ED779AE0-113C-4E7F-8C30-CF584E81E0D2}"/>
    <hyperlink ref="E14" r:id="rId24" xr:uid="{4F016DF2-050D-4155-831E-EB8246AAEDC8}"/>
    <hyperlink ref="D15" r:id="rId25" xr:uid="{B5D4E762-0DBA-43F2-9AAE-E1B1CA8AF081}"/>
    <hyperlink ref="E15" r:id="rId26" xr:uid="{C18E3456-0B95-4B71-BE3F-52E28597E852}"/>
    <hyperlink ref="D16" r:id="rId27" xr:uid="{5411F6BC-3D1B-4150-B44B-2846CC913B85}"/>
    <hyperlink ref="E16" r:id="rId28" xr:uid="{F0A6D54A-7C5A-4A0F-81E9-A3A5EF1BF896}"/>
    <hyperlink ref="D17" r:id="rId29" xr:uid="{1420391F-D0A3-4CDB-BAE3-2521DEB3B4AB}"/>
    <hyperlink ref="E17" r:id="rId30" xr:uid="{9E4019AF-F135-42CB-935D-AD83FE4FBA74}"/>
    <hyperlink ref="D18" r:id="rId31" xr:uid="{B751A85C-1EE2-474C-B95C-4E0D1A6AE44B}"/>
    <hyperlink ref="E18" r:id="rId32" xr:uid="{2A6C82D8-F6FC-404D-8CC2-FF7A15904312}"/>
    <hyperlink ref="D19" r:id="rId33" xr:uid="{4530BF17-5973-4535-8D2D-60C5D6D20C0E}"/>
    <hyperlink ref="E19" r:id="rId34" xr:uid="{CA6271A4-C2A4-4763-B4B6-A044519E7461}"/>
    <hyperlink ref="D20" r:id="rId35" xr:uid="{F5D193F4-2B46-4290-9064-466BB2446822}"/>
    <hyperlink ref="E20" r:id="rId36" xr:uid="{89750284-BAEF-41C2-BB30-7AE3C536A5B9}"/>
    <hyperlink ref="D21" r:id="rId37" xr:uid="{AAA4C5E1-39E5-4FC1-8657-F06E54B3254D}"/>
    <hyperlink ref="E21" r:id="rId38" xr:uid="{C3219796-6C6D-4EE0-83F9-F81E33930DA4}"/>
    <hyperlink ref="D22" r:id="rId39" xr:uid="{451F961C-B51C-4432-B66F-A31E224CE110}"/>
    <hyperlink ref="E22" r:id="rId40" xr:uid="{0DE967FE-DF46-42E2-B512-94EAC295BA91}"/>
    <hyperlink ref="D23" r:id="rId41" xr:uid="{2FF57F03-C6CA-4E59-9A5C-4DE71ACF27EE}"/>
    <hyperlink ref="E23" r:id="rId42" xr:uid="{73CA5E77-3F23-4B17-885E-915B7DF91C22}"/>
    <hyperlink ref="D24" r:id="rId43" xr:uid="{EF5986C8-116A-4879-94D0-E5EA8AFFB84C}"/>
    <hyperlink ref="E24" r:id="rId44" xr:uid="{7EED9E0D-9E6F-4FD0-ADD9-98B0E43E9E65}"/>
    <hyperlink ref="D25" r:id="rId45" xr:uid="{A913B21B-D171-42B8-901E-B89E19FEE2B2}"/>
    <hyperlink ref="E25" r:id="rId46" xr:uid="{B4EFDFED-D622-42B4-9611-F0F20A66EF87}"/>
    <hyperlink ref="D26" r:id="rId47" xr:uid="{F28D7093-644A-4792-97BA-1A62119C66BE}"/>
    <hyperlink ref="E26" r:id="rId48" xr:uid="{5E1CF0D0-FF1E-4A9E-906C-06B1DAB116DB}"/>
    <hyperlink ref="D27" r:id="rId49" xr:uid="{C15E6245-E7D9-43EF-ADBF-18639883149E}"/>
    <hyperlink ref="E27" r:id="rId50" xr:uid="{C9ECFD81-82DD-4702-A29D-4BF1D4102980}"/>
    <hyperlink ref="D28" r:id="rId51" xr:uid="{C124880B-3ACD-402B-AFB7-B78BDA6D96D3}"/>
    <hyperlink ref="E28" r:id="rId52" xr:uid="{F14994F6-2C52-41B3-BEFF-405ED288E369}"/>
    <hyperlink ref="D29" r:id="rId53" xr:uid="{AF7F2B16-7E31-4247-A2C7-348C714CFAB5}"/>
    <hyperlink ref="E29" r:id="rId54" xr:uid="{0FE209B7-0896-4D9A-8FD3-A74D1C5E97D2}"/>
    <hyperlink ref="D30" r:id="rId55" xr:uid="{AF828807-D656-410F-8E46-5818CE8BF643}"/>
    <hyperlink ref="E30" r:id="rId56" xr:uid="{711CA3BC-6CD4-4B93-BD18-13DF489F37CD}"/>
    <hyperlink ref="D31" r:id="rId57" xr:uid="{36B6054B-89EB-40D3-A2F1-F13EED361FCC}"/>
    <hyperlink ref="E31" r:id="rId58" xr:uid="{0BA13BBB-4B3A-48BD-A299-AB3263880C45}"/>
    <hyperlink ref="D12" r:id="rId59" xr:uid="{A267B945-BB20-4214-AC5A-CCDFEE3CED64}"/>
    <hyperlink ref="D11" r:id="rId60" xr:uid="{F98758D6-D059-4F98-9A29-B1A0DC9CA6CF}"/>
  </hyperlinks>
  <pageMargins left="0.7" right="0.7" top="0.75" bottom="0.75" header="0.3" footer="0.3"/>
  <pageSetup paperSize="9" orientation="portrait" verticalDpi="0" r:id="rId6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ВК</dc:creator>
  <cp:lastModifiedBy>ВК</cp:lastModifiedBy>
  <dcterms:created xsi:type="dcterms:W3CDTF">2026-06-05T16:51:56Z</dcterms:created>
  <dcterms:modified xsi:type="dcterms:W3CDTF">2026-06-05T19:17:29Z</dcterms:modified>
</cp:coreProperties>
</file>